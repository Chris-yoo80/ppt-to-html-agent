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c10f7699547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" sheetId="1" r:id="R7505489576ff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2C3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3cbea731c48d3" /><Relationship Type="http://schemas.openxmlformats.org/officeDocument/2006/relationships/theme" Target="/xl/theme/theme1.xml" Id="R1c4efd6a35ef433c" /><Relationship Type="http://schemas.openxmlformats.org/officeDocument/2006/relationships/sharedStrings" Target="/xl/sharedStrings.xml" Id="R013f29f2eee54918" /><Relationship Type="http://schemas.openxmlformats.org/officeDocument/2006/relationships/worksheet" Target="/xl/worksheets/sheet1.xml" Id="R7505489576ff41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</x:cols>
  <x:sheetData>
    <x:row r="1" ht="38" customHeight="1">
      <x:c r="A1" s="3" t="str">
        <x:v>Week</x:v>
      </x:c>
      <x:c r="B1" s="3" t="str">
        <x:v>Channel</x:v>
      </x:c>
      <x:c r="C1" s="3" t="str">
        <x:v>Region</x:v>
      </x:c>
      <x:c r="D1" s="3" t="str">
        <x:v>Spend (KRW)</x:v>
      </x:c>
      <x:c r="E1" s="3" t="str">
        <x:v>Impressions</x:v>
      </x:c>
      <x:c r="F1" s="3" t="str">
        <x:v>Clicks</x:v>
      </x:c>
      <x:c r="G1" s="3" t="str">
        <x:v>Orders</x:v>
      </x:c>
      <x:c r="H1" s="3" t="str">
        <x:v>Revenue (KRW)</x:v>
      </x:c>
      <x:c r="I1" s="1"/>
      <x:c r="J1" s="6" t="str">
        <x:v>Fictional campaign sample</x:v>
      </x:c>
      <x:c r="K1" s="6" t="str">
        <x:v>Value</x:v>
      </x:c>
    </x:row>
    <x:row r="2" ht="25" customHeight="1">
      <x:c r="A2" s="1" t="str">
        <x:v>2026-09-07</x:v>
      </x:c>
      <x:c r="B2" s="1" t="str">
        <x:v>Search</x:v>
      </x:c>
      <x:c r="C2" s="1" t="str">
        <x:v>Domestic</x:v>
      </x:c>
      <x:c r="D2" s="4" t="n">
        <x:v>2592000</x:v>
      </x:c>
      <x:c r="E2" s="4" t="n">
        <x:v>80000</x:v>
      </x:c>
      <x:c r="F2" s="4" t="n">
        <x:v>3600</x:v>
      </x:c>
      <x:c r="G2" s="4" t="n">
        <x:v>137</x:v>
      </x:c>
      <x:c r="H2" s="4" t="n">
        <x:v>7946000</x:v>
      </x:c>
      <x:c r="I2" s="1"/>
      <x:c r="J2" s="6" t="str">
        <x:v>Spend</x:v>
      </x:c>
      <x:c r="K2" s="8" t="n">
        <x:f>SUM(D2:D25)</x:f>
        <x:v>33661480</x:v>
      </x:c>
    </x:row>
    <x:row r="3" ht="25" customHeight="1">
      <x:c r="A3" s="1" t="str">
        <x:v>2026-09-07</x:v>
      </x:c>
      <x:c r="B3" s="1" t="str">
        <x:v>Search</x:v>
      </x:c>
      <x:c r="C3" s="1" t="str">
        <x:v>International</x:v>
      </x:c>
      <x:c r="D3" s="4" t="n">
        <x:v>1425600</x:v>
      </x:c>
      <x:c r="E3" s="4" t="n">
        <x:v>44000</x:v>
      </x:c>
      <x:c r="F3" s="4" t="n">
        <x:v>1980</x:v>
      </x:c>
      <x:c r="G3" s="4" t="n">
        <x:v>75</x:v>
      </x:c>
      <x:c r="H3" s="4" t="n">
        <x:v>4350000</x:v>
      </x:c>
      <x:c r="I3" s="1"/>
      <x:c r="J3" s="6" t="str">
        <x:v>Revenue</x:v>
      </x:c>
      <x:c r="K3" s="8" t="n">
        <x:f>SUM(H2:H25)</x:f>
        <x:v>197711000</x:v>
      </x:c>
    </x:row>
    <x:row r="4" ht="25" customHeight="1">
      <x:c r="A4" s="1" t="str">
        <x:v>2026-09-07</x:v>
      </x:c>
      <x:c r="B4" s="1" t="str">
        <x:v>Social</x:v>
      </x:c>
      <x:c r="C4" s="1" t="str">
        <x:v>Domestic</x:v>
      </x:c>
      <x:c r="D4" s="4" t="n">
        <x:v>1435200</x:v>
      </x:c>
      <x:c r="E4" s="4" t="n">
        <x:v>130000</x:v>
      </x:c>
      <x:c r="F4" s="4" t="n">
        <x:v>2990</x:v>
      </x:c>
      <x:c r="G4" s="4" t="n">
        <x:v>78</x:v>
      </x:c>
      <x:c r="H4" s="4" t="n">
        <x:v>4056000</x:v>
      </x:c>
      <x:c r="I4" s="1"/>
      <x:c r="J4" s="6" t="str">
        <x:v>Orders</x:v>
      </x:c>
      <x:c r="K4" s="8" t="n">
        <x:f>SUM(G2:G25)</x:f>
        <x:v>3383</x:v>
      </x:c>
    </x:row>
    <x:row r="5" ht="25" customHeight="1">
      <x:c r="A5" s="1" t="str">
        <x:v>2026-09-07</x:v>
      </x:c>
      <x:c r="B5" s="1" t="str">
        <x:v>Social</x:v>
      </x:c>
      <x:c r="C5" s="1" t="str">
        <x:v>International</x:v>
      </x:c>
      <x:c r="D5" s="4" t="n">
        <x:v>789600</x:v>
      </x:c>
      <x:c r="E5" s="4" t="n">
        <x:v>71500</x:v>
      </x:c>
      <x:c r="F5" s="4" t="n">
        <x:v>1645</x:v>
      </x:c>
      <x:c r="G5" s="4" t="n">
        <x:v>43</x:v>
      </x:c>
      <x:c r="H5" s="4" t="n">
        <x:v>2236000</x:v>
      </x:c>
      <x:c r="I5" s="1"/>
      <x:c r="J5" s="6" t="str">
        <x:v>Clicks</x:v>
      </x:c>
      <x:c r="K5" s="8" t="n">
        <x:f>SUM(F2:F25)</x:f>
        <x:v>72906</x:v>
      </x:c>
    </x:row>
    <x:row r="6" ht="25" customHeight="1">
      <x:c r="A6" s="1" t="str">
        <x:v>2026-09-07</x:v>
      </x:c>
      <x:c r="B6" s="1" t="str">
        <x:v>Email</x:v>
      </x:c>
      <x:c r="C6" s="1" t="str">
        <x:v>Domestic</x:v>
      </x:c>
      <x:c r="D6" s="4" t="n">
        <x:v>573750</x:v>
      </x:c>
      <x:c r="E6" s="4" t="n">
        <x:v>45000</x:v>
      </x:c>
      <x:c r="F6" s="4" t="n">
        <x:v>3375</x:v>
      </x:c>
      <x:c r="G6" s="4" t="n">
        <x:v>219</x:v>
      </x:c>
      <x:c r="H6" s="4" t="n">
        <x:v>13359000</x:v>
      </x:c>
      <x:c r="I6" s="1"/>
      <x:c r="J6" s="6" t="str">
        <x:v>ROAS</x:v>
      </x:c>
      <x:c r="K6" s="7" t="n">
        <x:f>K3/K2</x:f>
        <x:v>5.873508829677126</x:v>
      </x:c>
    </x:row>
    <x:row r="7" ht="25" customHeight="1">
      <x:c r="A7" s="1" t="str">
        <x:v>2026-09-07</x:v>
      </x:c>
      <x:c r="B7" s="1" t="str">
        <x:v>Email</x:v>
      </x:c>
      <x:c r="C7" s="1" t="str">
        <x:v>International</x:v>
      </x:c>
      <x:c r="D7" s="4" t="n">
        <x:v>315520</x:v>
      </x:c>
      <x:c r="E7" s="4" t="n">
        <x:v>24750</x:v>
      </x:c>
      <x:c r="F7" s="4" t="n">
        <x:v>1856</x:v>
      </x:c>
      <x:c r="G7" s="4" t="n">
        <x:v>121</x:v>
      </x:c>
      <x:c r="H7" s="4" t="n">
        <x:v>7381000</x:v>
      </x:c>
      <x:c r="I7" s="1"/>
      <x:c r="J7" s="6"/>
      <x:c r="K7" s="6"/>
    </x:row>
    <x:row r="8" ht="25" customHeight="1">
      <x:c r="A8" s="1" t="str">
        <x:v>2026-09-14</x:v>
      </x:c>
      <x:c r="B8" s="1" t="str">
        <x:v>Search</x:v>
      </x:c>
      <x:c r="C8" s="1" t="str">
        <x:v>Domestic</x:v>
      </x:c>
      <x:c r="D8" s="4" t="n">
        <x:v>2903040</x:v>
      </x:c>
      <x:c r="E8" s="4" t="n">
        <x:v>89600</x:v>
      </x:c>
      <x:c r="F8" s="4" t="n">
        <x:v>4032</x:v>
      </x:c>
      <x:c r="G8" s="4" t="n">
        <x:v>159</x:v>
      </x:c>
      <x:c r="H8" s="4" t="n">
        <x:v>9222000</x:v>
      </x:c>
      <x:c r="I8" s="1"/>
      <x:c r="J8" s="6"/>
      <x:c r="K8" s="6"/>
    </x:row>
    <x:row r="9" ht="40" customHeight="1">
      <x:c r="A9" s="1" t="str">
        <x:v>2026-09-14</x:v>
      </x:c>
      <x:c r="B9" s="1" t="str">
        <x:v>Search</x:v>
      </x:c>
      <x:c r="C9" s="1" t="str">
        <x:v>International</x:v>
      </x:c>
      <x:c r="D9" s="4" t="n">
        <x:v>1596960</x:v>
      </x:c>
      <x:c r="E9" s="4" t="n">
        <x:v>49280</x:v>
      </x:c>
      <x:c r="F9" s="4" t="n">
        <x:v>2218</x:v>
      </x:c>
      <x:c r="G9" s="4" t="n">
        <x:v>88</x:v>
      </x:c>
      <x:c r="H9" s="4" t="n">
        <x:v>5104000</x:v>
      </x:c>
      <x:c r="I9" s="1"/>
      <x:c r="J9" s="6" t="str">
        <x:v>Source</x:v>
      </x:c>
      <x:c r="K9" s="6" t="str">
        <x:v>Original fictional sample</x:v>
      </x:c>
    </x:row>
    <x:row r="10" ht="40" customHeight="1">
      <x:c r="A10" s="1" t="str">
        <x:v>2026-09-14</x:v>
      </x:c>
      <x:c r="B10" s="1" t="str">
        <x:v>Social</x:v>
      </x:c>
      <x:c r="C10" s="1" t="str">
        <x:v>Domestic</x:v>
      </x:c>
      <x:c r="D10" s="4" t="n">
        <x:v>1607520</x:v>
      </x:c>
      <x:c r="E10" s="4" t="n">
        <x:v>145600</x:v>
      </x:c>
      <x:c r="F10" s="4" t="n">
        <x:v>3349</x:v>
      </x:c>
      <x:c r="G10" s="4" t="n">
        <x:v>91</x:v>
      </x:c>
      <x:c r="H10" s="4" t="n">
        <x:v>4732000</x:v>
      </x:c>
      <x:c r="I10" s="1"/>
      <x:c r="J10" s="6" t="str">
        <x:v>Scope</x:v>
      </x:c>
      <x:c r="K10" s="6" t="str">
        <x:v>Not actual campaign results</x:v>
      </x:c>
    </x:row>
    <x:row r="11" ht="25" customHeight="1">
      <x:c r="A11" s="1" t="str">
        <x:v>2026-09-14</x:v>
      </x:c>
      <x:c r="B11" s="1" t="str">
        <x:v>Social</x:v>
      </x:c>
      <x:c r="C11" s="1" t="str">
        <x:v>International</x:v>
      </x:c>
      <x:c r="D11" s="4" t="n">
        <x:v>884160</x:v>
      </x:c>
      <x:c r="E11" s="4" t="n">
        <x:v>80080</x:v>
      </x:c>
      <x:c r="F11" s="4" t="n">
        <x:v>1842</x:v>
      </x:c>
      <x:c r="G11" s="4" t="n">
        <x:v>50</x:v>
      </x:c>
      <x:c r="H11" s="4" t="n">
        <x:v>2600000</x:v>
      </x:c>
      <x:c r="I11" s="1"/>
      <x:c r="J11" s="1"/>
      <x:c r="K11" s="1"/>
    </x:row>
    <x:row r="12" ht="25" customHeight="1">
      <x:c r="A12" s="1" t="str">
        <x:v>2026-09-14</x:v>
      </x:c>
      <x:c r="B12" s="1" t="str">
        <x:v>Email</x:v>
      </x:c>
      <x:c r="C12" s="1" t="str">
        <x:v>Domestic</x:v>
      </x:c>
      <x:c r="D12" s="4" t="n">
        <x:v>642600</x:v>
      </x:c>
      <x:c r="E12" s="4" t="n">
        <x:v>50400</x:v>
      </x:c>
      <x:c r="F12" s="4" t="n">
        <x:v>3780</x:v>
      </x:c>
      <x:c r="G12" s="4" t="n">
        <x:v>256</x:v>
      </x:c>
      <x:c r="H12" s="4" t="n">
        <x:v>15616000</x:v>
      </x:c>
      <x:c r="I12" s="1"/>
      <x:c r="J12" s="1"/>
      <x:c r="K12" s="1"/>
    </x:row>
    <x:row r="13" ht="25" customHeight="1">
      <x:c r="A13" s="1" t="str">
        <x:v>2026-09-14</x:v>
      </x:c>
      <x:c r="B13" s="1" t="str">
        <x:v>Email</x:v>
      </x:c>
      <x:c r="C13" s="1" t="str">
        <x:v>International</x:v>
      </x:c>
      <x:c r="D13" s="4" t="n">
        <x:v>353430</x:v>
      </x:c>
      <x:c r="E13" s="4" t="n">
        <x:v>27720</x:v>
      </x:c>
      <x:c r="F13" s="4" t="n">
        <x:v>2079</x:v>
      </x:c>
      <x:c r="G13" s="4" t="n">
        <x:v>141</x:v>
      </x:c>
      <x:c r="H13" s="4" t="n">
        <x:v>8601000</x:v>
      </x:c>
      <x:c r="I13" s="1"/>
      <x:c r="J13" s="1"/>
      <x:c r="K13" s="1"/>
    </x:row>
    <x:row r="14" ht="25" customHeight="1">
      <x:c r="A14" s="1" t="str">
        <x:v>2026-09-21</x:v>
      </x:c>
      <x:c r="B14" s="1" t="str">
        <x:v>Search</x:v>
      </x:c>
      <x:c r="C14" s="1" t="str">
        <x:v>Domestic</x:v>
      </x:c>
      <x:c r="D14" s="4" t="n">
        <x:v>3214080</x:v>
      </x:c>
      <x:c r="E14" s="4" t="n">
        <x:v>99200</x:v>
      </x:c>
      <x:c r="F14" s="4" t="n">
        <x:v>4464</x:v>
      </x:c>
      <x:c r="G14" s="4" t="n">
        <x:v>183</x:v>
      </x:c>
      <x:c r="H14" s="4" t="n">
        <x:v>10614000</x:v>
      </x:c>
      <x:c r="I14" s="1"/>
      <x:c r="J14" s="1"/>
      <x:c r="K14" s="1"/>
    </x:row>
    <x:row r="15" ht="25" customHeight="1">
      <x:c r="A15" s="1" t="str">
        <x:v>2026-09-21</x:v>
      </x:c>
      <x:c r="B15" s="1" t="str">
        <x:v>Search</x:v>
      </x:c>
      <x:c r="C15" s="1" t="str">
        <x:v>International</x:v>
      </x:c>
      <x:c r="D15" s="4" t="n">
        <x:v>1767600</x:v>
      </x:c>
      <x:c r="E15" s="4" t="n">
        <x:v>54560</x:v>
      </x:c>
      <x:c r="F15" s="4" t="n">
        <x:v>2455</x:v>
      </x:c>
      <x:c r="G15" s="4" t="n">
        <x:v>101</x:v>
      </x:c>
      <x:c r="H15" s="4" t="n">
        <x:v>5858000</x:v>
      </x:c>
      <x:c r="I15" s="1"/>
      <x:c r="J15" s="1"/>
      <x:c r="K15" s="1"/>
    </x:row>
    <x:row r="16" ht="25" customHeight="1">
      <x:c r="A16" s="1" t="str">
        <x:v>2026-09-21</x:v>
      </x:c>
      <x:c r="B16" s="1" t="str">
        <x:v>Social</x:v>
      </x:c>
      <x:c r="C16" s="1" t="str">
        <x:v>Domestic</x:v>
      </x:c>
      <x:c r="D16" s="4" t="n">
        <x:v>1779840</x:v>
      </x:c>
      <x:c r="E16" s="4" t="n">
        <x:v>161200</x:v>
      </x:c>
      <x:c r="F16" s="4" t="n">
        <x:v>3708</x:v>
      </x:c>
      <x:c r="G16" s="4" t="n">
        <x:v>104</x:v>
      </x:c>
      <x:c r="H16" s="4" t="n">
        <x:v>5408000</x:v>
      </x:c>
      <x:c r="I16" s="1"/>
      <x:c r="J16" s="1"/>
      <x:c r="K16" s="1"/>
    </x:row>
    <x:row r="17" ht="25" customHeight="1">
      <x:c r="A17" s="1" t="str">
        <x:v>2026-09-21</x:v>
      </x:c>
      <x:c r="B17" s="1" t="str">
        <x:v>Social</x:v>
      </x:c>
      <x:c r="C17" s="1" t="str">
        <x:v>International</x:v>
      </x:c>
      <x:c r="D17" s="4" t="n">
        <x:v>978720</x:v>
      </x:c>
      <x:c r="E17" s="4" t="n">
        <x:v>88660</x:v>
      </x:c>
      <x:c r="F17" s="4" t="n">
        <x:v>2039</x:v>
      </x:c>
      <x:c r="G17" s="4" t="n">
        <x:v>57</x:v>
      </x:c>
      <x:c r="H17" s="4" t="n">
        <x:v>2964000</x:v>
      </x:c>
      <x:c r="I17" s="1"/>
      <x:c r="J17" s="1"/>
      <x:c r="K17" s="1"/>
    </x:row>
    <x:row r="18" ht="25" customHeight="1">
      <x:c r="A18" s="1" t="str">
        <x:v>2026-09-21</x:v>
      </x:c>
      <x:c r="B18" s="1" t="str">
        <x:v>Email</x:v>
      </x:c>
      <x:c r="C18" s="1" t="str">
        <x:v>Domestic</x:v>
      </x:c>
      <x:c r="D18" s="4" t="n">
        <x:v>711450</x:v>
      </x:c>
      <x:c r="E18" s="4" t="n">
        <x:v>55800</x:v>
      </x:c>
      <x:c r="F18" s="4" t="n">
        <x:v>4185</x:v>
      </x:c>
      <x:c r="G18" s="4" t="n">
        <x:v>294</x:v>
      </x:c>
      <x:c r="H18" s="4" t="n">
        <x:v>17934000</x:v>
      </x:c>
      <x:c r="I18" s="1"/>
      <x:c r="J18" s="1"/>
      <x:c r="K18" s="1"/>
    </x:row>
    <x:row r="19" ht="25" customHeight="1">
      <x:c r="A19" s="1" t="str">
        <x:v>2026-09-21</x:v>
      </x:c>
      <x:c r="B19" s="1" t="str">
        <x:v>Email</x:v>
      </x:c>
      <x:c r="C19" s="1" t="str">
        <x:v>International</x:v>
      </x:c>
      <x:c r="D19" s="4" t="n">
        <x:v>391340</x:v>
      </x:c>
      <x:c r="E19" s="4" t="n">
        <x:v>30690</x:v>
      </x:c>
      <x:c r="F19" s="4" t="n">
        <x:v>2302</x:v>
      </x:c>
      <x:c r="G19" s="4" t="n">
        <x:v>162</x:v>
      </x:c>
      <x:c r="H19" s="4" t="n">
        <x:v>9882000</x:v>
      </x:c>
      <x:c r="I19" s="1"/>
      <x:c r="J19" s="1"/>
      <x:c r="K19" s="1"/>
    </x:row>
    <x:row r="20" ht="25" customHeight="1">
      <x:c r="A20" s="1" t="str">
        <x:v>2026-09-28</x:v>
      </x:c>
      <x:c r="B20" s="1" t="str">
        <x:v>Search</x:v>
      </x:c>
      <x:c r="C20" s="1" t="str">
        <x:v>Domestic</x:v>
      </x:c>
      <x:c r="D20" s="4" t="n">
        <x:v>3525120</x:v>
      </x:c>
      <x:c r="E20" s="4" t="n">
        <x:v>108800</x:v>
      </x:c>
      <x:c r="F20" s="4" t="n">
        <x:v>4896</x:v>
      </x:c>
      <x:c r="G20" s="4" t="n">
        <x:v>208</x:v>
      </x:c>
      <x:c r="H20" s="4" t="n">
        <x:v>12064000</x:v>
      </x:c>
      <x:c r="I20" s="1"/>
      <x:c r="J20" s="1"/>
      <x:c r="K20" s="1"/>
    </x:row>
    <x:row r="21" ht="25" customHeight="1">
      <x:c r="A21" s="1" t="str">
        <x:v>2026-09-28</x:v>
      </x:c>
      <x:c r="B21" s="1" t="str">
        <x:v>Search</x:v>
      </x:c>
      <x:c r="C21" s="1" t="str">
        <x:v>International</x:v>
      </x:c>
      <x:c r="D21" s="4" t="n">
        <x:v>1938960</x:v>
      </x:c>
      <x:c r="E21" s="4" t="n">
        <x:v>59840</x:v>
      </x:c>
      <x:c r="F21" s="4" t="n">
        <x:v>2693</x:v>
      </x:c>
      <x:c r="G21" s="4" t="n">
        <x:v>115</x:v>
      </x:c>
      <x:c r="H21" s="4" t="n">
        <x:v>6670000</x:v>
      </x:c>
      <x:c r="I21" s="1"/>
      <x:c r="J21" s="1"/>
      <x:c r="K21" s="1"/>
    </x:row>
    <x:row r="22" ht="25" customHeight="1">
      <x:c r="A22" s="1" t="str">
        <x:v>2026-09-28</x:v>
      </x:c>
      <x:c r="B22" s="1" t="str">
        <x:v>Social</x:v>
      </x:c>
      <x:c r="C22" s="1" t="str">
        <x:v>Domestic</x:v>
      </x:c>
      <x:c r="D22" s="4" t="n">
        <x:v>1951680</x:v>
      </x:c>
      <x:c r="E22" s="4" t="n">
        <x:v>176800</x:v>
      </x:c>
      <x:c r="F22" s="4" t="n">
        <x:v>4066</x:v>
      </x:c>
      <x:c r="G22" s="4" t="n">
        <x:v>118</x:v>
      </x:c>
      <x:c r="H22" s="4" t="n">
        <x:v>6136000</x:v>
      </x:c>
      <x:c r="I22" s="1"/>
      <x:c r="J22" s="1"/>
      <x:c r="K22" s="1"/>
    </x:row>
    <x:row r="23" ht="25" customHeight="1">
      <x:c r="A23" s="1" t="str">
        <x:v>2026-09-28</x:v>
      </x:c>
      <x:c r="B23" s="1" t="str">
        <x:v>Social</x:v>
      </x:c>
      <x:c r="C23" s="1" t="str">
        <x:v>International</x:v>
      </x:c>
      <x:c r="D23" s="4" t="n">
        <x:v>1073760</x:v>
      </x:c>
      <x:c r="E23" s="4" t="n">
        <x:v>97240</x:v>
      </x:c>
      <x:c r="F23" s="4" t="n">
        <x:v>2237</x:v>
      </x:c>
      <x:c r="G23" s="4" t="n">
        <x:v>65</x:v>
      </x:c>
      <x:c r="H23" s="4" t="n">
        <x:v>3380000</x:v>
      </x:c>
      <x:c r="I23" s="1"/>
      <x:c r="J23" s="1"/>
      <x:c r="K23" s="1"/>
    </x:row>
    <x:row r="24" ht="25" customHeight="1">
      <x:c r="A24" s="1" t="str">
        <x:v>2026-09-28</x:v>
      </x:c>
      <x:c r="B24" s="1" t="str">
        <x:v>Email</x:v>
      </x:c>
      <x:c r="C24" s="1" t="str">
        <x:v>Domestic</x:v>
      </x:c>
      <x:c r="D24" s="4" t="n">
        <x:v>780300</x:v>
      </x:c>
      <x:c r="E24" s="4" t="n">
        <x:v>61200</x:v>
      </x:c>
      <x:c r="F24" s="4" t="n">
        <x:v>4590</x:v>
      </x:c>
      <x:c r="G24" s="4" t="n">
        <x:v>334</x:v>
      </x:c>
      <x:c r="H24" s="4" t="n">
        <x:v>20374000</x:v>
      </x:c>
      <x:c r="I24" s="1"/>
      <x:c r="J24" s="1"/>
      <x:c r="K24" s="1"/>
    </x:row>
    <x:row r="25" ht="25" customHeight="1">
      <x:c r="A25" s="1" t="str">
        <x:v>2026-09-28</x:v>
      </x:c>
      <x:c r="B25" s="1" t="str">
        <x:v>Email</x:v>
      </x:c>
      <x:c r="C25" s="1" t="str">
        <x:v>International</x:v>
      </x:c>
      <x:c r="D25" s="4" t="n">
        <x:v>429250</x:v>
      </x:c>
      <x:c r="E25" s="4" t="n">
        <x:v>33660</x:v>
      </x:c>
      <x:c r="F25" s="4" t="n">
        <x:v>2525</x:v>
      </x:c>
      <x:c r="G25" s="4" t="n">
        <x:v>184</x:v>
      </x:c>
      <x:c r="H25" s="4" t="n">
        <x:v>11224000</x:v>
      </x:c>
      <x:c r="I25" s="1"/>
      <x:c r="J25" s="1"/>
      <x:c r="K25" s="1"/>
    </x:row>
  </x:sheetData>
  <x:pageMargins left="0.7" right="0.7" top="0.75" bottom="0.75" header="0.3" footer="0.3"/>
</x:worksheet>
</file>